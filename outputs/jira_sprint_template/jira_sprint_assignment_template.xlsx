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5155d51b840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b02ebf97fd604605"/>
    <x:sheet xmlns:r="http://schemas.openxmlformats.org/officeDocument/2006/relationships" name="Summary" sheetId="2" r:id="Re562472b91844241"/>
    <x:sheet xmlns:r="http://schemas.openxmlformats.org/officeDocument/2006/relationships" name="Instructions" sheetId="3" r:id="R09b989b4f7bc4d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7">
    <x:font>
      <x:sz val="11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b/>
      <x:sz val="11"/>
      <x:color rgb="17201D"/>
      <x:name val="Carlito"/>
    </x:font>
    <x:font>
      <x:b/>
      <x:sz val="16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74F49"/>
      </x:patternFill>
    </x:fill>
    <x:fill>
      <x:patternFill patternType="solid">
        <x:fgColor rgb="FFFFFF"/>
      </x:patternFill>
    </x:fill>
    <x:fill>
      <x:patternFill patternType="solid">
        <x:fgColor rgb="DCEEEA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0" fontId="0" fillId="3" borderId="0" xfId="0" applyNumberFormat="1" applyFont="1" applyFill="1" applyBorder="1"/>
    <x:xf numFmtId="0" fontId="5" fillId="2" borderId="0" xfId="0" applyNumberFormat="1" applyFont="1" applyFill="1" applyBorder="1"/>
    <x:xf numFmtId="0" fontId="6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29cf309b60495f" /><Relationship Type="http://schemas.openxmlformats.org/officeDocument/2006/relationships/theme" Target="/xl/theme/theme1.xml" Id="Rdd6a537ee8ed4d6f" /><Relationship Type="http://schemas.openxmlformats.org/officeDocument/2006/relationships/sharedStrings" Target="/xl/sharedStrings.xml" Id="R0a1c65db91184842" /><Relationship Type="http://schemas.openxmlformats.org/officeDocument/2006/relationships/worksheet" Target="/xl/worksheets/sheet1.xml" Id="Rb02ebf97fd604605" /><Relationship Type="http://schemas.openxmlformats.org/officeDocument/2006/relationships/worksheet" Target="/xl/worksheets/sheet2.xml" Id="Re562472b91844241" /><Relationship Type="http://schemas.openxmlformats.org/officeDocument/2006/relationships/worksheet" Target="/xl/worksheets/sheet3.xml" Id="R09b989b4f7bc4d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64302154b5c46b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Story Points by Person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Developer SP</c:v>
          </c:tx>
          <c:cat>
            <c:strRef>
              <c:f>'Summary'!$A$8:$A$13</c:f>
              <c:strCache>
                <c:ptCount val="0"/>
              </c:strCache>
            </c:strRef>
          </c:cat>
          <c:val>
            <c:numRef>
              <c:f>'Summary'!$B$8:$B$13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QAE SP</c:v>
          </c:tx>
          <c:cat>
            <c:strRef>
              <c:f>'Summary'!$A$8:$A$13</c:f>
              <c:strCache>
                <c:ptCount val="0"/>
              </c:strCache>
            </c:strRef>
          </c:cat>
          <c:val>
            <c:numRef>
              <c:f>'Summary'!$C$8:$C$13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Total SP</c:v>
          </c:tx>
          <c:cat>
            <c:strRef>
              <c:f>'Summary'!$A$8:$A$13</c:f>
              <c:strCache>
                <c:ptCount val="0"/>
              </c:strCache>
            </c:strRef>
          </c:cat>
          <c:val>
            <c:numRef>
              <c:f>'Summary'!$D$8:$D$13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4302154b5c46b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JiraIssues" displayName="JiraIssues" ref="A1:M101" headerRowCount="1">
  <x:tableColumns count="13">
    <x:tableColumn id="1" name="Sprint"/>
    <x:tableColumn id="2" name="Issue Number"/>
    <x:tableColumn id="3" name="Title"/>
    <x:tableColumn id="4" name="Issue Type"/>
    <x:tableColumn id="5" name="Priority"/>
    <x:tableColumn id="6" name="Status"/>
    <x:tableColumn id="7" name="Fix Version"/>
    <x:tableColumn id="8" name="Reporter"/>
    <x:tableColumn id="9" name="Summary"/>
    <x:tableColumn id="10" name="Assigned Developer"/>
    <x:tableColumn id="11" name="Developer Story Points"/>
    <x:tableColumn id="12" name="Assigned QAE"/>
    <x:tableColumn id="13" name="QAE Story Point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caffabc56d4a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3c49d2fa6ef4a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70000076293945" hidden="0" customWidth="1"/>
    <x:col min="2" max="2" width="13.130000114440918" hidden="0" customWidth="1"/>
    <x:col min="3" max="3" width="26.3799991607666" hidden="0" customWidth="1"/>
    <x:col min="4" max="4" width="10.670000076293945" hidden="0" customWidth="1"/>
    <x:col min="5" max="5" width="9.9399995803833" hidden="0" customWidth="1"/>
    <x:col min="6" max="6" width="13.130000114440918" hidden="0" customWidth="1"/>
    <x:col min="7" max="7" width="11.65999984741211" hidden="0" customWidth="1"/>
    <x:col min="8" max="8" width="15.34000015258789" hidden="0" customWidth="1"/>
    <x:col min="9" max="9" width="30.059999465942383" hidden="0" customWidth="1"/>
    <x:col min="10" max="10" width="17.790000915527344" hidden="0" customWidth="1"/>
    <x:col min="11" max="11" width="11.170000076293945" hidden="0" customWidth="1"/>
    <x:col min="12" max="12" width="15.579999923706055" hidden="0" customWidth="1"/>
    <x:col min="13" max="13" width="10.670000076293945" hidden="0" customWidth="1"/>
  </x:cols>
  <x:sheetData>
    <x:row r="1" ht="25.5" customHeight="1">
      <x:c r="A1" s="3" t="str">
        <x:v>Sprint</x:v>
      </x:c>
      <x:c r="B1" s="3" t="str">
        <x:v>Issue Number</x:v>
      </x:c>
      <x:c r="C1" s="3" t="str">
        <x:v>Title</x:v>
      </x:c>
      <x:c r="D1" s="3" t="str">
        <x:v>Issue Type</x:v>
      </x:c>
      <x:c r="E1" s="3" t="str">
        <x:v>Priority</x:v>
      </x:c>
      <x:c r="F1" s="3" t="str">
        <x:v>Status</x:v>
      </x:c>
      <x:c r="G1" s="3" t="str">
        <x:v>Fix Version</x:v>
      </x:c>
      <x:c r="H1" s="3" t="str">
        <x:v>Reporter</x:v>
      </x:c>
      <x:c r="I1" s="3" t="str">
        <x:v>Summary</x:v>
      </x:c>
      <x:c r="J1" s="3" t="str">
        <x:v>Assigned Developer</x:v>
      </x:c>
      <x:c r="K1" s="3" t="str">
        <x:v>Developer Story Points</x:v>
      </x:c>
      <x:c r="L1" s="3" t="str">
        <x:v>Assigned QAE</x:v>
      </x:c>
      <x:c r="M1" s="3" t="str">
        <x:v>QAE Story Points</x:v>
      </x:c>
    </x:row>
    <x:row r="2" ht="25.5" customHeight="1">
      <x:c r="A2" s="5" t="str">
        <x:v>Sprint 18</x:v>
      </x:c>
      <x:c r="B2" s="5" t="str">
        <x:v>PAY-1201</x:v>
      </x:c>
      <x:c r="C2" s="5" t="str">
        <x:v>Saved card checkout validation</x:v>
      </x:c>
      <x:c r="D2" s="5" t="str">
        <x:v>Story</x:v>
      </x:c>
      <x:c r="E2" s="5" t="str">
        <x:v>High</x:v>
      </x:c>
      <x:c r="F2" s="5" t="str">
        <x:v>In Progress</x:v>
      </x:c>
      <x:c r="G2" s="5" t="str">
        <x:v>2026.05</x:v>
      </x:c>
      <x:c r="H2" s="5" t="str">
        <x:v>Riley Morgan</x:v>
      </x:c>
      <x:c r="I2" s="5" t="str">
        <x:v>Add saved-card validation to checkout</x:v>
      </x:c>
      <x:c r="J2" s="5" t="str">
        <x:v>Avery Chen</x:v>
      </x:c>
      <x:c r="K2" s="6" t="n">
        <x:v>5</x:v>
      </x:c>
      <x:c r="L2" s="5" t="str">
        <x:v>Maya Patel</x:v>
      </x:c>
      <x:c r="M2" s="6" t="n">
        <x:v>2</x:v>
      </x:c>
    </x:row>
    <x:row r="3" ht="25.5" customHeight="1">
      <x:c r="A3" s="5" t="str">
        <x:v>Sprint 18</x:v>
      </x:c>
      <x:c r="B3" s="5" t="str">
        <x:v>PAY-1207</x:v>
      </x:c>
      <x:c r="C3" s="5" t="str">
        <x:v>Refund audit trail</x:v>
      </x:c>
      <x:c r="D3" s="5" t="str">
        <x:v>Story</x:v>
      </x:c>
      <x:c r="E3" s="5" t="str">
        <x:v>Medium</x:v>
      </x:c>
      <x:c r="F3" s="5" t="str">
        <x:v>Ready for QA</x:v>
      </x:c>
      <x:c r="G3" s="5" t="str">
        <x:v>2026.05</x:v>
      </x:c>
      <x:c r="H3" s="5" t="str">
        <x:v>Casey Ward</x:v>
      </x:c>
      <x:c r="I3" s="5" t="str">
        <x:v>Refund event audit trail</x:v>
      </x:c>
      <x:c r="J3" s="5" t="str">
        <x:v>Jordan Lee</x:v>
      </x:c>
      <x:c r="K3" s="6" t="n">
        <x:v>8</x:v>
      </x:c>
      <x:c r="L3" s="5" t="str">
        <x:v>Priya Raman</x:v>
      </x:c>
      <x:c r="M3" s="6" t="n">
        <x:v>3</x:v>
      </x:c>
    </x:row>
    <x:row r="4" ht="25.5" customHeight="1">
      <x:c r="A4" s="5" t="str">
        <x:v>Sprint 19</x:v>
      </x:c>
      <x:c r="B4" s="5" t="str">
        <x:v>PAY-1214</x:v>
      </x:c>
      <x:c r="C4" s="5" t="str">
        <x:v>Retry status banner</x:v>
      </x:c>
      <x:c r="D4" s="5" t="str">
        <x:v>Bug</x:v>
      </x:c>
      <x:c r="E4" s="5" t="str">
        <x:v>Critical</x:v>
      </x:c>
      <x:c r="F4" s="5" t="str">
        <x:v>Blocked</x:v>
      </x:c>
      <x:c r="G4" s="5" t="str">
        <x:v>2026.06</x:v>
      </x:c>
      <x:c r="H4" s="5" t="str">
        <x:v>Riley Morgan</x:v>
      </x:c>
      <x:c r="I4" s="5" t="str">
        <x:v>Payment retry status banner</x:v>
      </x:c>
      <x:c r="J4" s="5" t="str">
        <x:v>Avery Chen</x:v>
      </x:c>
      <x:c r="K4" s="6" t="n">
        <x:v>3</x:v>
      </x:c>
      <x:c r="L4" s="5" t="str">
        <x:v>Maya Patel</x:v>
      </x:c>
      <x:c r="M4" s="6" t="n">
        <x:v>1</x:v>
      </x:c>
    </x:row>
    <x:row r="5" ht="25.5" customHeight="1">
      <x:c r="A5" s="5" t="str">
        <x:v>Sprint 19</x:v>
      </x:c>
      <x:c r="B5" s="5" t="str">
        <x:v>MOB-884</x:v>
      </x:c>
      <x:c r="C5" s="5" t="str">
        <x:v>Receipt image upload</x:v>
      </x:c>
      <x:c r="D5" s="5" t="str">
        <x:v>Story</x:v>
      </x:c>
      <x:c r="E5" s="5" t="str">
        <x:v>Medium</x:v>
      </x:c>
      <x:c r="F5" s="5" t="str">
        <x:v>To Do</x:v>
      </x:c>
      <x:c r="G5" s="5" t="str">
        <x:v>2026.06</x:v>
      </x:c>
      <x:c r="H5" s="5" t="str">
        <x:v>Taylor Kim</x:v>
      </x:c>
      <x:c r="I5" s="5" t="str">
        <x:v>Mobile receipt image upload</x:v>
      </x:c>
      <x:c r="J5" s="5" t="str">
        <x:v>Sam Rivera</x:v>
      </x:c>
      <x:c r="K5" s="6" t="n">
        <x:v>5</x:v>
      </x:c>
      <x:c r="L5" s="5" t="str">
        <x:v>Priya Raman</x:v>
      </x:c>
      <x:c r="M5" s="6" t="n">
        <x:v>2</x:v>
      </x:c>
    </x:row>
    <x:row r="6" ht="25.5" customHeight="1">
      <x:c r="A6" s="5" t="str">
        <x:v>Sprint 20</x:v>
      </x:c>
      <x:c r="B6" s="5" t="str">
        <x:v>OPS-442</x:v>
      </x:c>
      <x:c r="C6" s="5" t="str">
        <x:v>Dashboard health checks</x:v>
      </x:c>
      <x:c r="D6" s="5" t="str">
        <x:v>Task</x:v>
      </x:c>
      <x:c r="E6" s="5" t="str">
        <x:v>Low</x:v>
      </x:c>
      <x:c r="F6" s="5" t="str">
        <x:v>Done</x:v>
      </x:c>
      <x:c r="G6" s="5" t="str">
        <x:v>2026.06</x:v>
      </x:c>
      <x:c r="H6" s="5" t="str">
        <x:v>Morgan Blake</x:v>
      </x:c>
      <x:c r="I6" s="5" t="str">
        <x:v>Release dashboard health checks</x:v>
      </x:c>
      <x:c r="J6" s="5" t="str">
        <x:v>Jordan Lee</x:v>
      </x:c>
      <x:c r="K6" s="6" t="n">
        <x:v>3</x:v>
      </x:c>
      <x:c r="L6" s="5" t="str">
        <x:v>Noah Brooks</x:v>
      </x:c>
      <x:c r="M6" s="6" t="n">
        <x:v>2</x:v>
      </x:c>
    </x:row>
    <x:row r="7" ht="25.5" customHeight="1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6"/>
      <x:c r="L7" s="5"/>
      <x:c r="M7" s="6"/>
    </x:row>
    <x:row r="8" ht="25.5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6"/>
      <x:c r="L8" s="5"/>
      <x:c r="M8" s="6"/>
    </x:row>
    <x:row r="9" ht="25.5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6"/>
      <x:c r="L9" s="5"/>
      <x:c r="M9" s="6"/>
    </x:row>
    <x:row r="10" ht="25.5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6"/>
      <x:c r="L10" s="5"/>
      <x:c r="M10" s="6"/>
    </x:row>
    <x:row r="11" ht="25.5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6"/>
      <x:c r="L11" s="5"/>
      <x:c r="M11" s="6"/>
    </x:row>
    <x:row r="12" ht="25.5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6"/>
      <x:c r="L12" s="5"/>
      <x:c r="M12" s="6"/>
    </x:row>
    <x:row r="13" ht="25.5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6"/>
      <x:c r="L13" s="5"/>
      <x:c r="M13" s="6"/>
    </x:row>
    <x:row r="14" ht="25.5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6"/>
      <x:c r="L14" s="5"/>
      <x:c r="M14" s="6"/>
    </x:row>
    <x:row r="15" ht="25.5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6"/>
      <x:c r="L15" s="5"/>
      <x:c r="M15" s="6"/>
    </x:row>
    <x:row r="16" ht="25.5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6"/>
      <x:c r="L16" s="5"/>
      <x:c r="M16" s="6"/>
    </x:row>
    <x:row r="17" ht="25.5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6"/>
      <x:c r="L17" s="5"/>
      <x:c r="M17" s="6"/>
    </x:row>
    <x:row r="18" ht="25.5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6"/>
      <x:c r="L18" s="5"/>
      <x:c r="M18" s="6"/>
    </x:row>
    <x:row r="19" ht="25.5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6"/>
      <x:c r="L19" s="5"/>
      <x:c r="M19" s="6"/>
    </x:row>
    <x:row r="20" ht="25.5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6"/>
      <x:c r="L20" s="5"/>
      <x:c r="M20" s="6"/>
    </x:row>
    <x:row r="21" ht="25.5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6"/>
      <x:c r="L21" s="5"/>
      <x:c r="M21" s="6"/>
    </x:row>
    <x:row r="22" ht="25.5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6"/>
      <x:c r="L22" s="5"/>
      <x:c r="M22" s="6"/>
    </x:row>
    <x:row r="23" ht="25.5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6"/>
      <x:c r="L23" s="5"/>
      <x:c r="M23" s="6"/>
    </x:row>
    <x:row r="24" ht="25.5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6"/>
      <x:c r="L24" s="5"/>
      <x:c r="M24" s="6"/>
    </x:row>
    <x:row r="25" ht="25.5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6"/>
      <x:c r="L25" s="5"/>
      <x:c r="M25" s="6"/>
    </x:row>
    <x:row r="26" ht="25.5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6"/>
      <x:c r="L26" s="5"/>
      <x:c r="M26" s="6"/>
    </x:row>
    <x:row r="27" ht="25.5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6"/>
      <x:c r="L27" s="5"/>
      <x:c r="M27" s="6"/>
    </x:row>
    <x:row r="28" ht="25.5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6"/>
      <x:c r="L28" s="5"/>
      <x:c r="M28" s="6"/>
    </x:row>
    <x:row r="29" ht="25.5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6"/>
      <x:c r="L29" s="5"/>
      <x:c r="M29" s="6"/>
    </x:row>
    <x:row r="30" ht="25.5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6"/>
      <x:c r="L30" s="5"/>
      <x:c r="M30" s="6"/>
    </x:row>
    <x:row r="31" ht="25.5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6"/>
      <x:c r="L31" s="5"/>
      <x:c r="M31" s="6"/>
    </x:row>
    <x:row r="32" ht="25.5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6"/>
      <x:c r="L32" s="5"/>
      <x:c r="M32" s="6"/>
    </x:row>
    <x:row r="33" ht="25.5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6"/>
      <x:c r="L33" s="5"/>
      <x:c r="M33" s="6"/>
    </x:row>
    <x:row r="34" ht="25.5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6"/>
      <x:c r="L34" s="5"/>
      <x:c r="M34" s="6"/>
    </x:row>
    <x:row r="35" ht="25.5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6"/>
      <x:c r="L35" s="5"/>
      <x:c r="M35" s="6"/>
    </x:row>
    <x:row r="36" ht="25.5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6"/>
      <x:c r="L36" s="5"/>
      <x:c r="M36" s="6"/>
    </x:row>
    <x:row r="37" ht="25.5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6"/>
      <x:c r="L37" s="5"/>
      <x:c r="M37" s="6"/>
    </x:row>
    <x:row r="38" ht="25.5" customHeight="1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6"/>
      <x:c r="L38" s="5"/>
      <x:c r="M38" s="6"/>
    </x:row>
    <x:row r="39" ht="25.5" customHeight="1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6"/>
      <x:c r="L39" s="5"/>
      <x:c r="M39" s="6"/>
    </x:row>
    <x:row r="40" ht="25.5" customHeight="1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6"/>
      <x:c r="L40" s="5"/>
      <x:c r="M40" s="6"/>
    </x:row>
    <x:row r="41" ht="25.5" customHeight="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6"/>
      <x:c r="L41" s="5"/>
      <x:c r="M41" s="6"/>
    </x:row>
    <x:row r="42" ht="25.5" customHeight="1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6"/>
      <x:c r="L42" s="5"/>
      <x:c r="M42" s="6"/>
    </x:row>
    <x:row r="43" ht="25.5" customHeight="1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6"/>
      <x:c r="L43" s="5"/>
      <x:c r="M43" s="6"/>
    </x:row>
    <x:row r="44" ht="25.5" customHeight="1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6"/>
      <x:c r="L44" s="5"/>
      <x:c r="M44" s="6"/>
    </x:row>
    <x:row r="45" ht="25.5" customHeight="1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6"/>
      <x:c r="L45" s="5"/>
      <x:c r="M45" s="6"/>
    </x:row>
    <x:row r="46" ht="25.5" customHeight="1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6"/>
      <x:c r="L46" s="5"/>
      <x:c r="M46" s="6"/>
    </x:row>
    <x:row r="47" ht="25.5" customHeight="1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6"/>
      <x:c r="L47" s="5"/>
      <x:c r="M47" s="6"/>
    </x:row>
    <x:row r="48" ht="25.5" customHeight="1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6"/>
      <x:c r="L48" s="5"/>
      <x:c r="M48" s="6"/>
    </x:row>
    <x:row r="49" ht="25.5" customHeight="1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6"/>
      <x:c r="L49" s="5"/>
      <x:c r="M49" s="6"/>
    </x:row>
    <x:row r="50" ht="25.5" customHeight="1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6"/>
      <x:c r="L50" s="5"/>
      <x:c r="M50" s="6"/>
    </x:row>
    <x:row r="51" ht="25.5" customHeight="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6"/>
      <x:c r="L51" s="5"/>
      <x:c r="M51" s="6"/>
    </x:row>
    <x:row r="52" ht="25.5" customHeight="1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6"/>
      <x:c r="L52" s="5"/>
      <x:c r="M52" s="6"/>
    </x:row>
    <x:row r="53" ht="25.5" customHeight="1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6"/>
      <x:c r="L53" s="5"/>
      <x:c r="M53" s="6"/>
    </x:row>
    <x:row r="54" ht="25.5" customHeight="1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6"/>
      <x:c r="L54" s="5"/>
      <x:c r="M54" s="6"/>
    </x:row>
    <x:row r="55" ht="25.5" customHeight="1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6"/>
      <x:c r="L55" s="5"/>
      <x:c r="M55" s="6"/>
    </x:row>
    <x:row r="56" ht="25.5" customHeight="1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6"/>
      <x:c r="L56" s="5"/>
      <x:c r="M56" s="6"/>
    </x:row>
    <x:row r="57" ht="25.5" customHeight="1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6"/>
      <x:c r="L57" s="5"/>
      <x:c r="M57" s="6"/>
    </x:row>
    <x:row r="58" ht="25.5" customHeight="1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6"/>
      <x:c r="L58" s="5"/>
      <x:c r="M58" s="6"/>
    </x:row>
    <x:row r="59" ht="25.5" customHeight="1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6"/>
      <x:c r="L59" s="5"/>
      <x:c r="M59" s="6"/>
    </x:row>
    <x:row r="60" ht="25.5" customHeight="1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6"/>
      <x:c r="L60" s="5"/>
      <x:c r="M60" s="6"/>
    </x:row>
    <x:row r="61" ht="25.5" customHeight="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6"/>
      <x:c r="L61" s="5"/>
      <x:c r="M61" s="6"/>
    </x:row>
    <x:row r="62" ht="25.5" customHeight="1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6"/>
      <x:c r="L62" s="5"/>
      <x:c r="M62" s="6"/>
    </x:row>
    <x:row r="63" ht="25.5" customHeight="1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6"/>
      <x:c r="L63" s="5"/>
      <x:c r="M63" s="6"/>
    </x:row>
    <x:row r="64" ht="25.5" customHeight="1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6"/>
      <x:c r="L64" s="5"/>
      <x:c r="M64" s="6"/>
    </x:row>
    <x:row r="65" ht="25.5" customHeight="1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6"/>
      <x:c r="L65" s="5"/>
      <x:c r="M65" s="6"/>
    </x:row>
    <x:row r="66" ht="25.5" customHeight="1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6"/>
      <x:c r="L66" s="5"/>
      <x:c r="M66" s="6"/>
    </x:row>
    <x:row r="67" ht="25.5" customHeight="1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6"/>
      <x:c r="L67" s="5"/>
      <x:c r="M67" s="6"/>
    </x:row>
    <x:row r="68" ht="25.5" customHeight="1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6"/>
      <x:c r="L68" s="5"/>
      <x:c r="M68" s="6"/>
    </x:row>
    <x:row r="69" ht="25.5" customHeight="1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6"/>
      <x:c r="L69" s="5"/>
      <x:c r="M69" s="6"/>
    </x:row>
    <x:row r="70" ht="25.5" customHeight="1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6"/>
      <x:c r="L70" s="5"/>
      <x:c r="M70" s="6"/>
    </x:row>
    <x:row r="71" ht="25.5" customHeight="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6"/>
      <x:c r="L71" s="5"/>
      <x:c r="M71" s="6"/>
    </x:row>
    <x:row r="72" ht="25.5" customHeight="1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6"/>
      <x:c r="L72" s="5"/>
      <x:c r="M72" s="6"/>
    </x:row>
    <x:row r="73" ht="25.5" customHeight="1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6"/>
      <x:c r="L73" s="5"/>
      <x:c r="M73" s="6"/>
    </x:row>
    <x:row r="74" ht="25.5" customHeight="1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6"/>
      <x:c r="L74" s="5"/>
      <x:c r="M74" s="6"/>
    </x:row>
    <x:row r="75" ht="25.5" customHeight="1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6"/>
      <x:c r="L75" s="5"/>
      <x:c r="M75" s="6"/>
    </x:row>
    <x:row r="76" ht="25.5" customHeight="1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6"/>
      <x:c r="L76" s="5"/>
      <x:c r="M76" s="6"/>
    </x:row>
    <x:row r="77" ht="25.5" customHeight="1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6"/>
      <x:c r="L77" s="5"/>
      <x:c r="M77" s="6"/>
    </x:row>
    <x:row r="78" ht="25.5" customHeight="1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6"/>
      <x:c r="L78" s="5"/>
      <x:c r="M78" s="6"/>
    </x:row>
    <x:row r="79" ht="25.5" customHeight="1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6"/>
      <x:c r="L79" s="5"/>
      <x:c r="M79" s="6"/>
    </x:row>
    <x:row r="80" ht="25.5" customHeight="1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6"/>
      <x:c r="L80" s="5"/>
      <x:c r="M80" s="6"/>
    </x:row>
    <x:row r="81" ht="25.5" customHeight="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6"/>
      <x:c r="L81" s="5"/>
      <x:c r="M81" s="6"/>
    </x:row>
    <x:row r="82" ht="25.5" customHeight="1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6"/>
      <x:c r="L82" s="5"/>
      <x:c r="M82" s="6"/>
    </x:row>
    <x:row r="83" ht="25.5" customHeight="1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6"/>
      <x:c r="L83" s="5"/>
      <x:c r="M83" s="6"/>
    </x:row>
    <x:row r="84" ht="25.5" customHeight="1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6"/>
      <x:c r="L84" s="5"/>
      <x:c r="M84" s="6"/>
    </x:row>
    <x:row r="85" ht="25.5" customHeight="1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6"/>
      <x:c r="L85" s="5"/>
      <x:c r="M85" s="6"/>
    </x:row>
    <x:row r="86" ht="25.5" customHeight="1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6"/>
      <x:c r="L86" s="5"/>
      <x:c r="M86" s="6"/>
    </x:row>
    <x:row r="87" ht="25.5" customHeight="1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6"/>
      <x:c r="L87" s="5"/>
      <x:c r="M87" s="6"/>
    </x:row>
    <x:row r="88" ht="25.5" customHeight="1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6"/>
      <x:c r="L88" s="5"/>
      <x:c r="M88" s="6"/>
    </x:row>
    <x:row r="89" ht="25.5" customHeight="1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6"/>
      <x:c r="L89" s="5"/>
      <x:c r="M89" s="6"/>
    </x:row>
    <x:row r="90" ht="25.5" customHeight="1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6"/>
      <x:c r="L90" s="5"/>
      <x:c r="M90" s="6"/>
    </x:row>
    <x:row r="91" ht="25.5" customHeight="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6"/>
      <x:c r="L91" s="5"/>
      <x:c r="M91" s="6"/>
    </x:row>
    <x:row r="92" ht="25.5" customHeight="1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6"/>
      <x:c r="L92" s="5"/>
      <x:c r="M92" s="6"/>
    </x:row>
    <x:row r="93" ht="25.5" customHeight="1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6"/>
      <x:c r="L93" s="5"/>
      <x:c r="M93" s="6"/>
    </x:row>
    <x:row r="94" ht="25.5" customHeight="1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6"/>
      <x:c r="L94" s="5"/>
      <x:c r="M94" s="6"/>
    </x:row>
    <x:row r="95" ht="25.5" customHeight="1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6"/>
      <x:c r="L95" s="5"/>
      <x:c r="M95" s="6"/>
    </x:row>
    <x:row r="96" ht="25.5" customHeight="1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6"/>
      <x:c r="L96" s="5"/>
      <x:c r="M96" s="6"/>
    </x:row>
    <x:row r="97" ht="25.5" customHeight="1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6"/>
      <x:c r="L97" s="5"/>
      <x:c r="M97" s="6"/>
    </x:row>
    <x:row r="98" ht="25.5" customHeight="1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6"/>
      <x:c r="L98" s="5"/>
      <x:c r="M98" s="6"/>
    </x:row>
    <x:row r="99" ht="25.5" customHeight="1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6"/>
      <x:c r="L99" s="5"/>
      <x:c r="M99" s="6"/>
    </x:row>
    <x:row r="100" ht="25.5" customHeight="1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6"/>
      <x:c r="L100" s="5"/>
      <x:c r="M100" s="6"/>
    </x:row>
    <x:row r="101" ht="25.5" customHeight="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6"/>
      <x:c r="L101" s="5"/>
      <x:c r="M101" s="6"/>
    </x:row>
  </x:sheetData>
  <x:dataValidations count="5">
    <x:dataValidation type="list" sqref="D2:D101">
      <x:formula1>"Story,Bug,Task,Spike"</x:formula1>
    </x:dataValidation>
    <x:dataValidation type="list" sqref="E2:E101">
      <x:formula1>"Critical,High,Medium,Low"</x:formula1>
    </x:dataValidation>
    <x:dataValidation type="list" sqref="F2:F101">
      <x:formula1>"To Do,In Progress,Blocked,Ready for QA,Done"</x:formula1>
    </x:dataValidation>
    <x:dataValidation type="decimal" sqref="K2:K101">
      <x:formula1>0</x:formula1>
    </x:dataValidation>
    <x:dataValidation type="decimal" sqref="M2:M1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caffabc56d4ad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09000015258789" hidden="0" customWidth="1"/>
    <x:col min="2" max="2" width="15.09000015258789" hidden="0" customWidth="1"/>
    <x:col min="3" max="3" width="15.09000015258789" hidden="0" customWidth="1"/>
    <x:col min="4" max="4" width="15.09000015258789" hidden="0" customWidth="1"/>
    <x:col min="5" max="5" width="15.09000015258789" hidden="0" customWidth="1"/>
    <x:col min="6" max="6" width="15.09000015258789" hidden="0" customWidth="1"/>
  </x:cols>
  <x:sheetData>
    <x:row r="1">
      <x:c r="A1" s="7" t="str">
        <x:v>Jira Sprint Assignment Report</x:v>
      </x:c>
    </x:row>
    <x:row r="3">
      <x:c r="A3" s="9" t="str">
        <x:v>Total Issues</x:v>
      </x:c>
      <x:c r="B3" s="9" t="str">
        <x:v>Developer SP</x:v>
      </x:c>
      <x:c r="C3" s="9" t="str">
        <x:v>QAE SP</x:v>
      </x:c>
    </x:row>
    <x:row r="4">
      <x:c r="A4" s="11" t="n">
        <x:f>COUNTA(Report!B2:B101)</x:f>
        <x:v>5</x:v>
      </x:c>
      <x:c r="B4" s="11" t="n">
        <x:f>SUM(Report!K2:K101)</x:f>
        <x:v>24</x:v>
      </x:c>
      <x:c r="C4" s="11" t="n">
        <x:f>SUM(Report!M2:M101)</x:f>
        <x:v>10</x:v>
      </x:c>
    </x:row>
    <x:row r="7" ht="19.5" customHeight="1">
      <x:c r="A7" s="2" t="str">
        <x:v>Person</x:v>
      </x:c>
      <x:c r="B7" s="2" t="str">
        <x:v>Developer SP</x:v>
      </x:c>
      <x:c r="C7" s="2" t="str">
        <x:v>QAE SP</x:v>
      </x:c>
      <x:c r="D7" s="2" t="str">
        <x:v>Total SP</x:v>
      </x:c>
    </x:row>
    <x:row r="8" ht="19.5" customHeight="1">
      <x:c r="A8" s="12" t="str">
        <x:v>Avery Chen</x:v>
      </x:c>
      <x:c r="B8" s="12" t="n">
        <x:f>SUMIF(Report!J$2:J$101,A8,Report!K$2:K$101)</x:f>
        <x:v>8</x:v>
      </x:c>
      <x:c r="C8" s="12" t="n">
        <x:f>SUMIF(Report!L$2:L$101,A8,Report!M$2:M$101)</x:f>
        <x:v>0</x:v>
      </x:c>
      <x:c r="D8" s="12" t="n">
        <x:f>B8+C8</x:f>
        <x:v>8</x:v>
      </x:c>
    </x:row>
    <x:row r="9" ht="19.5" customHeight="1">
      <x:c r="A9" s="12" t="str">
        <x:v>Jordan Lee</x:v>
      </x:c>
      <x:c r="B9" s="12" t="n">
        <x:f>SUMIF(Report!J$2:J$101,A9,Report!K$2:K$101)</x:f>
        <x:v>11</x:v>
      </x:c>
      <x:c r="C9" s="12" t="n">
        <x:f>SUMIF(Report!L$2:L$101,A9,Report!M$2:M$101)</x:f>
        <x:v>0</x:v>
      </x:c>
      <x:c r="D9" s="12" t="n">
        <x:f>B9+C9</x:f>
        <x:v>11</x:v>
      </x:c>
    </x:row>
    <x:row r="10" ht="19.5" customHeight="1">
      <x:c r="A10" s="12" t="str">
        <x:v>Sam Rivera</x:v>
      </x:c>
      <x:c r="B10" s="12" t="n">
        <x:f>SUMIF(Report!J$2:J$101,A10,Report!K$2:K$101)</x:f>
        <x:v>5</x:v>
      </x:c>
      <x:c r="C10" s="12" t="n">
        <x:f>SUMIF(Report!L$2:L$101,A10,Report!M$2:M$101)</x:f>
        <x:v>0</x:v>
      </x:c>
      <x:c r="D10" s="12" t="n">
        <x:f>B10+C10</x:f>
        <x:v>5</x:v>
      </x:c>
    </x:row>
    <x:row r="11" ht="19.5" customHeight="1">
      <x:c r="A11" s="12" t="str">
        <x:v>Maya Patel</x:v>
      </x:c>
      <x:c r="B11" s="12" t="n">
        <x:f>SUMIF(Report!J$2:J$101,A11,Report!K$2:K$101)</x:f>
        <x:v>0</x:v>
      </x:c>
      <x:c r="C11" s="12" t="n">
        <x:f>SUMIF(Report!L$2:L$101,A11,Report!M$2:M$101)</x:f>
        <x:v>3</x:v>
      </x:c>
      <x:c r="D11" s="12" t="n">
        <x:f>B11+C11</x:f>
        <x:v>3</x:v>
      </x:c>
    </x:row>
    <x:row r="12" ht="19.5" customHeight="1">
      <x:c r="A12" s="12" t="str">
        <x:v>Priya Raman</x:v>
      </x:c>
      <x:c r="B12" s="12" t="n">
        <x:f>SUMIF(Report!J$2:J$101,A12,Report!K$2:K$101)</x:f>
        <x:v>0</x:v>
      </x:c>
      <x:c r="C12" s="12" t="n">
        <x:f>SUMIF(Report!L$2:L$101,A12,Report!M$2:M$101)</x:f>
        <x:v>5</x:v>
      </x:c>
      <x:c r="D12" s="12" t="n">
        <x:f>B12+C12</x:f>
        <x:v>5</x:v>
      </x:c>
    </x:row>
    <x:row r="13" ht="19.5" customHeight="1">
      <x:c r="A13" s="12" t="str">
        <x:v>Noah Brooks</x:v>
      </x:c>
      <x:c r="B13" s="12" t="n">
        <x:f>SUMIF(Report!J$2:J$101,A13,Report!K$2:K$101)</x:f>
        <x:v>0</x:v>
      </x:c>
      <x:c r="C13" s="12" t="n">
        <x:f>SUMIF(Report!L$2:L$101,A13,Report!M$2:M$101)</x:f>
        <x:v>2</x:v>
      </x:c>
      <x:c r="D13" s="12" t="n">
        <x:f>B13+C13</x:f>
        <x:v>2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c3c49d2fa6ef4a94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20000267028809" hidden="0" customWidth="1"/>
    <x:col min="2" max="2" width="75.45999908447266" hidden="0" customWidth="1"/>
  </x:cols>
  <x:sheetData>
    <x:row r="1">
      <x:c r="A1" s="13" t="str">
        <x:v>How to use this template</x:v>
      </x:c>
    </x:row>
    <x:row r="3" ht="27" customHeight="1">
      <x:c r="A3" s="14" t="str">
        <x:v>Step</x:v>
      </x:c>
      <x:c r="B3" s="14" t="str">
        <x:v>Action</x:v>
      </x:c>
    </x:row>
    <x:row r="4" ht="27" customHeight="1">
      <x:c r="A4" s="5" t="str">
        <x:v>1</x:v>
      </x:c>
      <x:c r="B4" s="5" t="str">
        <x:v>Enter or paste Jira cards on the Report sheet.</x:v>
      </x:c>
    </x:row>
    <x:row r="5" ht="27" customHeight="1">
      <x:c r="A5" s="5" t="str">
        <x:v>2</x:v>
      </x:c>
      <x:c r="B5" s="5" t="str">
        <x:v>Keep the header names unchanged so the app can import/export the same fields.</x:v>
      </x:c>
    </x:row>
    <x:row r="6" ht="27" customHeight="1">
      <x:c r="A6" s="5" t="str">
        <x:v>3</x:v>
      </x:c>
      <x:c r="B6" s="5" t="str">
        <x:v>Use Issue Number, Sprint, Summary, Assigned Developer, Developer Story Points, Assigned QAE, and QAE Story Points for every row.</x:v>
      </x:c>
    </x:row>
    <x:row r="7" ht="27" customHeight="1">
      <x:c r="A7" s="5" t="str">
        <x:v>4</x:v>
      </x:c>
      <x:c r="B7" s="5" t="str">
        <x:v>Optional fields include Title, Issue Type, Priority, Status, Fix Version, and Reporter.</x:v>
      </x:c>
    </x:row>
    <x:row r="8" ht="27" customHeight="1">
      <x:c r="A8" s="5" t="str">
        <x:v>5</x:v>
      </x:c>
      <x:c r="B8" s="5" t="str">
        <x:v>Save as .xlsx for analysis or export/save as .csv when importing into the local web app.</x:v>
      </x:c>
    </x:row>
    <x:row r="9" ht="27" customHeight="1">
      <x:c r="A9" s="5" t="str">
        <x:v>6</x:v>
      </x:c>
      <x:c r="B9" s="5" t="str">
        <x:v>The Summary sheet formulas update automatically as rows are added.</x:v>
      </x:c>
    </x:row>
  </x:sheetData>
  <x:mergeCells>
    <x:mergeCell ref="A1:E1"/>
  </x:mergeCells>
  <x:pageMargins left="0.7" right="0.7" top="0.75" bottom="0.75" header="0.3" footer="0.3"/>
</x:worksheet>
</file>